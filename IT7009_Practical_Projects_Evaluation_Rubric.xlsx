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523342451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ing Sheet" sheetId="1" r:id="R1576b8fae5344111"/>
    <x:sheet xmlns:r="http://schemas.openxmlformats.org/officeDocument/2006/relationships" name="Rubric" sheetId="2" r:id="Rbea480304ac94635"/>
  </x:sheets>
</x:workbook>
</file>

<file path=xl/sharedStrings.xml><?xml version="1.0" encoding="utf-8"?>
<x:sst xmlns:x="http://schemas.openxmlformats.org/spreadsheetml/2006/main">
  <x:si>
    <x:t xml:space="preserve">Academic Year 2026–2027, Semester A | Project contribution: 35% of the course grade</x:t>
  </x:si>
  <x:si>
    <x:t xml:space="preserve">Group number</x:t>
  </x:si>
  <x:si>
    <x:t xml:space="preserve">Student 1</x:t>
  </x:si>
  <x:si>
    <x:t xml:space="preserve">Student 2</x:t>
  </x:si>
  <x:si>
    <x:t xml:space="preserve">Student 3</x:t>
  </x:si>
  <x:si>
    <x:t xml:space="preserve">Student 4</x:t>
  </x:si>
  <x:si>
    <x:t xml:space="preserve">Student 5</x:t>
  </x:si>
  <x:si>
    <x:t xml:space="preserve">Marker</x:t>
  </x:si>
  <x:si>
    <x:t xml:space="preserve">Name</x:t>
  </x:si>
  <x:si>
    <x:t xml:space="preserve">Date</x:t>
  </x:si>
  <x:si>
    <x:t xml:space="preserve">Student ID</x:t>
  </x:si>
  <x:si>
    <x:t xml:space="preserve">Group submission assessment (common mark for all members)</x:t>
  </x:si>
  <x:si>
    <x:t xml:space="preserve">Weight</x:t>
  </x:si>
  <x:si>
    <x:t xml:space="preserve">Score (0–5)</x:t>
  </x:si>
  <x:si>
    <x:t xml:space="preserve">Weighted mark</x:t>
  </x:si>
  <x:si>
    <x:t xml:space="preserve">Marker feedback</x:t>
  </x:si>
  <x:si>
    <x:t xml:space="preserve">Problem definition, objectives and context</x:t>
  </x:si>
  <x:si>
    <x:t xml:space="preserve">Data cleaning and preprocessing</x:t>
  </x:si>
  <x:si>
    <x:t xml:space="preserve">Data exploration and visualisation</x:t>
  </x:si>
  <x:si>
    <x:t xml:space="preserve">Feature analysis and selection</x:t>
  </x:si>
  <x:si>
    <x:t xml:space="preserve">Supervised modelling</x:t>
  </x:si>
  <x:si>
    <x:t xml:space="preserve">Supervised evaluation and comparison</x:t>
  </x:si>
  <x:si>
    <x:t xml:space="preserve">Unsupervised learning and cluster validation</x:t>
  </x:si>
  <x:si>
    <x:t xml:space="preserve">Critical evaluation and reflection</x:t>
  </x:si>
  <x:si>
    <x:t xml:space="preserve">Code, report and submission requirements</x:t>
  </x:si>
  <x:si>
    <x:t xml:space="preserve">Group submission subtotal</x:t>
  </x:si>
  <x:si>
    <x:t xml:space="preserve">Maximum: 70</x:t>
  </x:si>
  <x:si>
    <x:t xml:space="preserve">Individual demonstration assessment</x:t>
  </x:si>
  <x:si>
    <x:t xml:space="preserve">Problem, data and preprocessing understanding</x:t>
  </x:si>
  <x:si>
    <x:t xml:space="preserve">Supervised modelling and results</x:t>
  </x:si>
  <x:si>
    <x:t xml:space="preserve">Unsupervised learning and cluster interpretation</x:t>
  </x:si>
  <x:si>
    <x:t xml:space="preserve">Technical justification and individual understanding</x:t>
  </x:si>
  <x:si>
    <x:t xml:space="preserve">Communication and response to questions</x:t>
  </x:si>
  <x:si>
    <x:t xml:space="preserve">Individual demonstration subtotal - Out of 30</x:t>
  </x:si>
  <x:si>
    <x:t xml:space="preserve">Final marks</x:t>
  </x:si>
  <x:si>
    <x:t xml:space="preserve">Maximum</x:t>
  </x:si>
  <x:si>
    <x:t xml:space="preserve">Group submission</x:t>
  </x:si>
  <x:si>
    <x:t xml:space="preserve">Individual demonstration</x:t>
  </x:si>
  <x:si>
    <x:t xml:space="preserve">Overall project mark</x:t>
  </x:si>
  <x:si>
    <x:t xml:space="preserve">Course mark</x:t>
  </x:si>
  <x:si>
    <x:t xml:space="preserve">Scoring scale: 0 = No evidence, 1 = Poor, 2 = Satisfactory, 3 = Good, 4 = Very Good, 5 = Excellent.</x:t>
  </x:si>
  <x:si>
    <x:t xml:space="preserve">Enter only whole-number scores from 0 to 5. Group-submission scores apply equally to all members; demonstration scores are individual.</x:t>
  </x:si>
  <x:si>
    <x:t xml:space="preserve">Use whole-number performance levels from 0 to 5. Apply the first nine criteria to the group submission and the final five criteria individually during the demonstration.</x:t>
  </x:si>
  <x:si>
    <x:t xml:space="preserve">Criterion</x:t>
  </x:si>
  <x:si>
    <x:t xml:space="preserve">0 – No evidence</x:t>
  </x:si>
  <x:si>
    <x:t xml:space="preserve">1 – Poor</x:t>
  </x:si>
  <x:si>
    <x:t xml:space="preserve">2 – Satisfactory</x:t>
  </x:si>
  <x:si>
    <x:t xml:space="preserve">3 – Good</x:t>
  </x:si>
  <x:si>
    <x:t xml:space="preserve">4 – Very Good</x:t>
  </x:si>
  <x:si>
    <x:t xml:space="preserve">5 – Excellent</x:t>
  </x:si>
  <x:si>
    <x:t xml:space="preserve">Required evidence</x:t>
  </x:si>
  <x:si>
    <x:t xml:space="preserve">Problem is missing or fundamentally misunderstood.</x:t>
  </x:si>
  <x:si>
    <x:t xml:space="preserve">Basic problem and objectives are stated, with limited explanation of relevance.</x:t>
  </x:si>
  <x:si>
    <x:t xml:space="preserve">Problem and objectives are well defined and supported by a strong domain rationale.</x:t>
  </x:si>
  <x:si>
    <x:t xml:space="preserve">No meaningful cleaning or preprocessing is demonstrated.</x:t>
  </x:si>
  <x:si>
    <x:t xml:space="preserve">Major data-quality issues are missed or handled incorrectly; decisions are largely unexplained.</x:t>
  </x:si>
  <x:si>
    <x:t xml:space="preserve">Some missing values, duplicates, inconsistencies, types, or outliers are handled, but important steps or justification are incomplete.</x:t>
  </x:si>
  <x:si>
    <x:t xml:space="preserve">Most data issues are handled appropriately; categorical, date/time, identifier, scaling, imbalance, and leakage considerations are addressed with reasonable justification.</x:t>
  </x:si>
  <x:si>
    <x:t xml:space="preserve">Cleaning and preprocessing are systematic, well justified, and reproducible; class imbalance and leakage are handled carefully.</x:t>
  </x:si>
  <x:si>
    <x:t xml:space="preserve">A rigorous, reproducible pipeline identifies and appropriately handles all relevant quality issues, transformations, imbalance, and leakage risks with excellent justification.</x:t>
  </x:si>
  <x:si>
    <x:t xml:space="preserve">Data-quality assessment and justified handling of missing/partial values, duplicates, inconsistencies, outliers, data types, formatting, categorical and temporal variables, identifiers, scaling, imbalance, and leakage.</x:t>
  </x:si>
  <x:si>
    <x:t xml:space="preserve">Required analysis and visualisations are absent or misleading.</x:t>
  </x:si>
  <x:si>
    <x:t xml:space="preserve">Very limited exploration is presented; figures are unclear or not interpreted.</x:t>
  </x:si>
  <x:si>
    <x:t xml:space="preserve">Basic class-distribution and feature plots are included, but coverage, labelling, or interpretation is incomplete.</x:t>
  </x:si>
  <x:si>
    <x:t xml:space="preserve">Relevant class, feature, relationship, model-comparison, and clustering plots are clear and generally interpreted.</x:t>
  </x:si>
  <x:si>
    <x:t xml:space="preserve">Visualisations are well selected, clearly labelled, referenced, and used effectively to support decisions.</x:t>
  </x:si>
  <x:si>
    <x:t xml:space="preserve">Visual analysis is comprehensive, accurate, polished, and integrated into a strong interpretation of the data and results.</x:t>
  </x:si>
  <x:si>
    <x:t xml:space="preserve">No feature analysis or selection is attempted; inappropriate or leaking variables are used.</x:t>
  </x:si>
  <x:si>
    <x:t xml:space="preserve">Feature choices are largely unjustified and important relevance, redundancy, or leakage issues are missed.</x:t>
  </x:si>
  <x:si>
    <x:t xml:space="preserve">Some appropriate features are selected, with limited analysis or justification.</x:t>
  </x:si>
  <x:si>
    <x:t xml:space="preserve">Feature importance, relevance, redundancy, prediction-time availability, and leakage are considered using suitable methods.</x:t>
  </x:si>
  <x:si>
    <x:t xml:space="preserve">Feature selection is well justified and its effect on supervised and unsupervised models is evaluated.</x:t>
  </x:si>
  <x:si>
    <x:t xml:space="preserve">Feature analysis is rigorous and interpretable, with convincing evidence that the selected subsets improve validity, efficiency, and insight.</x:t>
  </x:si>
  <x:si>
    <x:t xml:space="preserve">Feature relevance, redundancy, importance, prediction-time availability, leakage checks, selected subsets, and effect on models.</x:t>
  </x:si>
  <x:si>
    <x:t xml:space="preserve">No valid supervised classification model is implemented.</x:t>
  </x:si>
  <x:si>
    <x:t xml:space="preserve">Fewer than three suitable models are attempted or the training/validation process is seriously flawed.</x:t>
  </x:si>
  <x:si>
    <x:t xml:space="preserve">Three models are attempted, but implementation, tuning, splitting, or justification is incomplete.</x:t>
  </x:si>
  <x:si>
    <x:t xml:space="preserve">At least three suitable classifiers are correctly implemented using a reasonable stratified training and validation pipeline.</x:t>
  </x:si>
  <x:si>
    <x:t xml:space="preserve">Models are well selected, tuned, and implemented within a robust and reproducible pipeline.</x:t>
  </x:si>
  <x:si>
    <x:t xml:space="preserve">At least three well-justified classifiers are implemented and tuned rigorously using a highly reliable, reproducible pipeline.</x:t>
  </x:si>
  <x:si>
    <x:t xml:space="preserve">At least three classifiers; stratified split; justified pipeline, algorithms, feature engineering, validation, and tuning.</x:t>
  </x:si>
  <x:si>
    <x:t xml:space="preserve">Models are not evaluated or the reported results are invalid.</x:t>
  </x:si>
  <x:si>
    <x:t xml:space="preserve">Evaluation relies mainly on accuracy or uses unsuitable metrics; comparison is weak.</x:t>
  </x:si>
  <x:si>
    <x:t xml:space="preserve">Several metrics are reported, but macro F1, confusion matrices, imbalance-aware interpretation, or comparison is incomplete.</x:t>
  </x:si>
  <x:si>
    <x:t xml:space="preserve">Accuracy, precision, recall, macro F1-score, and confusion matrices are used to compare the models and select a reasonable best model.</x:t>
  </x:si>
  <x:si>
    <x:t xml:space="preserve">Evaluation is accurate and imbalance-aware; results are clearly compared in tables and plots and the best model is well justified.</x:t>
  </x:si>
  <x:si>
    <x:t xml:space="preserve">Evaluation is rigorous and insightful, including careful class-level error analysis, robust comparison, and a compelling evidence-based model selection.</x:t>
  </x:si>
  <x:si>
    <x:t xml:space="preserve">Accuracy, precision, recall, macro F1-score, confusion matrices, class-level interpretation, comparison table/plot, and justified best model.</x:t>
  </x:si>
  <x:si>
    <x:t xml:space="preserve">No valid clustering analysis is implemented.</x:t>
  </x:si>
  <x:si>
    <x:t xml:space="preserve">Clustering is poorly implemented and the number of clusters is arbitrary or unsupported.</x:t>
  </x:si>
  <x:si>
    <x:t xml:space="preserve">A clustering method is applied, but testing of cluster numbers, validation, visualisation, or interpretation is incomplete.</x:t>
  </x:si>
  <x:si>
    <x:t xml:space="preserve">Different cluster numbers are tested and the selected solution is supported by elbow and silhouette evidence with reasonable interpretation.</x:t>
  </x:si>
  <x:si>
    <x:t xml:space="preserve">Clustering method; multiple cluster counts; elbow method; silhouette score; final clusters; cluster profiles; limitations and practical meaning.</x:t>
  </x:si>
  <x:si>
    <x:t xml:space="preserve">No meaningful evaluation or reflection is provided.</x:t>
  </x:si>
  <x:si>
    <x:t xml:space="preserve">Discussion is descriptive and gives little attention to limitations, challenges, or practical value.</x:t>
  </x:si>
  <x:si>
    <x:t xml:space="preserve">Some strengths, limitations, and improvements are identified, but comparison and reflection are limited.</x:t>
  </x:si>
  <x:si>
    <x:t xml:space="preserve">Supervised and unsupervised outcomes, limitations, challenges, practical implications, and improvements are discussed reasonably.</x:t>
  </x:si>
  <x:si>
    <x:t xml:space="preserve">Evaluation is critical and well reasoned, with useful recommendations and a strong comparison of the two learning approaches.</x:t>
  </x:si>
  <x:si>
    <x:t xml:space="preserve">Reflection is balanced, evidence based, and insightful, with clear limitations, practical implications, and well-supported future recommendations.</x:t>
  </x:si>
  <x:si>
    <x:t xml:space="preserve">Comparison of supervised and unsupervised findings; effectiveness, limitations, data challenges, practical implications, improvements, and recommendations.</x:t>
  </x:si>
  <x:si>
    <x:t xml:space="preserve">Required files are missing, unusable, or submitted in a prohibited format.</x:t>
  </x:si>
  <x:si>
    <x:t xml:space="preserve">Major deliverables, report sections, code explanations, references, or formatting requirements are missing.</x:t>
  </x:si>
  <x:si>
    <x:t xml:space="preserve">Main deliverables are present, but there are several issues with organisation, naming, documentation, report structure, citations, language, or formatting.</x:t>
  </x:si>
  <x:si>
    <x:t xml:space="preserve">The ZIP, .ipynb notebook, .docx report, cover details, required sections, APA references, and visual formatting are generally complete and organised.</x:t>
  </x:si>
  <x:si>
    <x:t xml:space="preserve">All deliverables are complete, clearly named, well organised, well documented, professionally written, and consistent with the brief.</x:t>
  </x:si>
  <x:si>
    <x:t xml:space="preserve">Submission is exceptionally clear and professional: code is modular and fully documented, the report is polished and complete, and every submission requirement is met precisely.</x:t>
  </x:si>
  <x:si>
    <x:t xml:space="preserve">One ZIP submitted by group leader; .ipynb and .docx; cover details; required report sections; APA references; documented code; professional language and formatting.</x:t>
  </x:si>
  <x:si>
    <x:t xml:space="preserve">Cannot explain the problem, dataset, or preprocessing work.</x:t>
  </x:si>
  <x:si>
    <x:t xml:space="preserve">Explanation is mostly inaccurate or shows very limited personal understanding.</x:t>
  </x:si>
  <x:si>
    <x:t xml:space="preserve">Explains basic project and preprocessing steps, but answers lack detail or confidence.</x:t>
  </x:si>
  <x:si>
    <x:t xml:space="preserve">Clearly explains the problem, dataset, data issues, and main preprocessing decisions.</x:t>
  </x:si>
  <x:si>
    <x:t xml:space="preserve">Provides a confident, accurate explanation and justifies important preprocessing choices.</x:t>
  </x:si>
  <x:si>
    <x:t xml:space="preserve">Demonstrates excellent command of the problem, dataset, data quality, and preprocessing decisions, including alternatives and consequences.</x:t>
  </x:si>
  <x:si>
    <x:t xml:space="preserve">Individual explanation of the scenario, dataset, discovered issues, and preprocessing decisions.</x:t>
  </x:si>
  <x:si>
    <x:t xml:space="preserve">Cannot explain the classifiers, evaluation metrics, or results.</x:t>
  </x:si>
  <x:si>
    <x:t xml:space="preserve">Shows major misconceptions about model choice, training, metrics, or findings.</x:t>
  </x:si>
  <x:si>
    <x:t xml:space="preserve">Explains some models and results but gives limited justification or interpretation.</x:t>
  </x:si>
  <x:si>
    <x:t xml:space="preserve">Explains the three or more models, evaluation metrics, comparison, and selected model accurately.</x:t>
  </x:si>
  <x:si>
    <x:t xml:space="preserve">Provides strong technical justification and interprets model errors and imbalance-aware results confidently.</x:t>
  </x:si>
  <x:si>
    <x:t xml:space="preserve">Demonstrates excellent technical command of model design, validation, comparative performance, error behaviour, and model selection.</x:t>
  </x:si>
  <x:si>
    <x:t xml:space="preserve">Individual explanation and defence of model choices, metrics, comparative results, errors, and best model.</x:t>
  </x:si>
  <x:si>
    <x:t xml:space="preserve">Cannot explain the clustering method or results.</x:t>
  </x:si>
  <x:si>
    <x:t xml:space="preserve">Shows serious misunderstanding of clustering or cluster-number selection.</x:t>
  </x:si>
  <x:si>
    <x:t xml:space="preserve">Explains the basic clustering process but gives limited validation or practical interpretation.</x:t>
  </x:si>
  <x:si>
    <x:t xml:space="preserve">Provides a confident explanation of cluster validation, characteristics, limitations, and practical relevance.</x:t>
  </x:si>
  <x:si>
    <x:t xml:space="preserve">Individual explanation of clustering, optimal cluster count, validation plots, cluster characteristics, and practical meaning.</x:t>
  </x:si>
  <x:si>
    <x:t xml:space="preserve">Cannot explain or defend the submitted work.</x:t>
  </x:si>
  <x:si>
    <x:t xml:space="preserve">Answers suggest very limited individual contribution or understanding.</x:t>
  </x:si>
  <x:si>
    <x:t xml:space="preserve">Understands assigned parts but struggles to justify wider project decisions.</x:t>
  </x:si>
  <x:si>
    <x:t xml:space="preserve">Shows sound understanding of the complete workflow and gives reasonable technical justifications.</x:t>
  </x:si>
  <x:si>
    <x:t xml:space="preserve">Shows strong individual ownership and can defend decisions across all project components.</x:t>
  </x:si>
  <x:si>
    <x:t xml:space="preserve">Demonstrates comprehensive individual mastery, evaluates alternatives critically, and responds accurately to questions beyond the assigned role.</x:t>
  </x:si>
  <x:si>
    <x:t xml:space="preserve">Evidence that the student understands and can justify the complete workflow, regardless of assigned role.</x:t>
  </x:si>
  <x:si>
    <x:t xml:space="preserve">Does not participate meaningfully or cannot respond to questions.</x:t>
  </x:si>
  <x:si>
    <x:t xml:space="preserve">Communication is unclear and responses are mostly incomplete or inaccurate.</x:t>
  </x:si>
  <x:si>
    <x:t xml:space="preserve">Communicates basic points but lacks clarity, confidence, timing, or complete answers.</x:t>
  </x:si>
  <x:si>
    <x:t xml:space="preserve">Communicates clearly and answers most questions accurately with suitable technical language.</x:t>
  </x:si>
  <x:si>
    <x:t xml:space="preserve">Presents confidently, concisely, and professionally and handles questions well.</x:t>
  </x:si>
  <x:si>
    <x:t xml:space="preserve">Communication is exceptionally clear and professional; responses are precise, confident, and technically well justified.</x:t>
  </x:si>
  <x:si>
    <x:t xml:space="preserve">Clear participation, professional presentation, accurate answers, and appropriate technical language.</x:t>
  </x:si>
  <x:si>
    <x:t xml:space="preserve">Weight check</x:t>
  </x:si>
  <x:si>
    <x:t xml:space="preserve">Total</x:t>
  </x:si>
</x:sst>
</file>

<file path=xl/styles.xml><?xml version="1.0" encoding="utf-8"?>
<x:styleSheet xmlns:x="http://schemas.openxmlformats.org/spreadsheetml/2006/main">
  <x:numFmts count="2">
    <x:numFmt numFmtId="164" formatCode="0&quot;%&quot;"/>
    <x:numFmt numFmtId="165" formatCode="0.0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595959"/>
      <x:name val="Arial"/>
    </x:font>
    <x:font>
      <x:b/>
      <x:sz val="11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9"/>
      <x:color rgb="FF595959"/>
      <x:name val="Arial"/>
    </x:font>
    <x:font>
      <x:sz val="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3F6F9"/>
      </x:patternFill>
    </x:fill>
    <x:fill>
      <x:patternFill patternType="solid">
        <x:fgColor rgb="FFF8FBFD"/>
      </x:patternFill>
    </x:fill>
    <x:fill>
      <x:patternFill patternType="solid">
        <x:fgColor rgb="FFFFF9E6"/>
      </x:patternFill>
    </x:fill>
  </x:fills>
  <x:borders count="23">
    <x:border/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D9D9D9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D9D9D9"/>
      </x:top>
      <x:bottom style="double">
        <x:color rgb="FF17365D"/>
      </x:bottom>
    </x:border>
    <x:border>
      <x:top style="medium">
        <x:color rgb="FF17365D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double">
        <x:color rgb="FF17365D"/>
      </x:bottom>
    </x:border>
    <x:border>
      <x:bottom style="double">
        <x:color rgb="FF17365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5" fillId="4" borderId="4" xfId="0" applyFont="1" applyFill="1" applyBorder="1" applyAlignment="1">
      <x:alignment horizontal="center" vertical="center" wrapText="1"/>
    </x:xf>
    <x:xf numFmtId="0" fontId="6" fillId="0" borderId="0" xfId="0" applyFont="1" applyAlignment="1">
      <x:alignment vertical="top" wrapText="1"/>
    </x:xf>
    <x:xf numFmtId="0" fontId="6" fillId="0" borderId="6" xfId="0" applyFont="1" applyBorder="1" applyAlignment="1">
      <x:alignment vertical="top" wrapText="1"/>
    </x:xf>
    <x:xf numFmtId="0" fontId="6" fillId="0" borderId="8" xfId="0" applyFont="1" applyBorder="1" applyAlignment="1">
      <x:alignment vertical="top" wrapText="1"/>
    </x:xf>
    <x:xf numFmtId="0" fontId="6" fillId="0" borderId="10" xfId="0" applyFont="1" applyBorder="1" applyAlignment="1">
      <x:alignment vertical="top" wrapText="1"/>
    </x:xf>
    <x:xf numFmtId="0" fontId="4" fillId="0" borderId="0" xfId="0" applyFont="1"/>
    <x:xf numFmtId="0" fontId="4" fillId="0" borderId="0" xfId="0" applyFont="1" applyAlignment="1">
      <x:alignment vertical="center"/>
    </x:xf>
    <x:xf numFmtId="0" fontId="3" fillId="2" borderId="1" xfId="0" applyFont="1" applyFill="1" applyBorder="1" applyAlignment="1">
      <x:alignment vertical="center"/>
    </x:xf>
    <x:xf numFmtId="0" fontId="4" fillId="3" borderId="1" xfId="0" applyFont="1" applyFill="1" applyBorder="1" applyAlignment="1">
      <x:alignment vertical="center"/>
    </x:xf>
    <x:xf numFmtId="0" fontId="5" fillId="4" borderId="4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vertical="center"/>
    </x:xf>
    <x:xf numFmtId="0" fontId="4" fillId="3" borderId="2" xfId="0" applyFont="1" applyFill="1" applyBorder="1" applyAlignment="1">
      <x:alignment vertical="center"/>
    </x:xf>
    <x:xf numFmtId="0" fontId="4" fillId="3" borderId="5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vertical="center"/>
    </x:xf>
    <x:xf numFmtId="0" fontId="4" fillId="3" borderId="3" xfId="0" applyFont="1" applyFill="1" applyBorder="1" applyAlignment="1">
      <x:alignment vertical="center"/>
    </x:xf>
    <x:xf numFmtId="164" fontId="6" fillId="0" borderId="6" xfId="0" applyNumberFormat="1" applyFont="1" applyBorder="1" applyAlignment="1">
      <x:alignment vertical="center"/>
    </x:xf>
    <x:xf numFmtId="0" fontId="6" fillId="3" borderId="7" xfId="0" applyFont="1" applyFill="1" applyBorder="1" applyAlignment="1">
      <x:alignment horizontal="center" vertical="center"/>
    </x:xf>
    <x:xf numFmtId="165" fontId="6" fillId="0" borderId="6" xfId="0" applyNumberFormat="1" applyFont="1" applyBorder="1" applyAlignment="1">
      <x:alignment vertical="center"/>
    </x:xf>
    <x:xf numFmtId="164" fontId="6" fillId="0" borderId="8" xfId="0" applyNumberFormat="1" applyFont="1" applyBorder="1" applyAlignment="1">
      <x:alignment vertical="center"/>
    </x:xf>
    <x:xf numFmtId="0" fontId="6" fillId="3" borderId="9" xfId="0" applyFont="1" applyFill="1" applyBorder="1" applyAlignment="1">
      <x:alignment horizontal="center" vertical="center"/>
    </x:xf>
    <x:xf numFmtId="165" fontId="6" fillId="0" borderId="8" xfId="0" applyNumberFormat="1" applyFont="1" applyBorder="1" applyAlignment="1">
      <x:alignment vertical="center"/>
    </x:xf>
    <x:xf numFmtId="164" fontId="6" fillId="0" borderId="10" xfId="0" applyNumberFormat="1" applyFont="1" applyBorder="1" applyAlignment="1">
      <x:alignment vertical="center"/>
    </x:xf>
    <x:xf numFmtId="0" fontId="6" fillId="3" borderId="11" xfId="0" applyFont="1" applyFill="1" applyBorder="1" applyAlignment="1">
      <x:alignment horizontal="center" vertical="center"/>
    </x:xf>
    <x:xf numFmtId="165" fontId="6" fillId="0" borderId="10" xfId="0" applyNumberFormat="1" applyFont="1" applyBorder="1" applyAlignment="1">
      <x:alignment vertical="center"/>
    </x:xf>
    <x:xf numFmtId="0" fontId="3" fillId="2" borderId="12" xfId="0" applyFont="1" applyFill="1" applyBorder="1" applyAlignment="1">
      <x:alignment vertical="center"/>
    </x:xf>
    <x:xf numFmtId="0" fontId="3" fillId="2" borderId="13" xfId="0" applyFont="1" applyFill="1" applyBorder="1" applyAlignment="1">
      <x:alignment vertical="center"/>
    </x:xf>
    <x:xf numFmtId="165" fontId="3" fillId="2" borderId="13" xfId="0" applyNumberFormat="1" applyFont="1" applyFill="1" applyBorder="1" applyAlignment="1">
      <x:alignment vertical="center"/>
    </x:xf>
    <x:xf numFmtId="0" fontId="3" fillId="2" borderId="14" xfId="0" applyFont="1" applyFill="1" applyBorder="1" applyAlignment="1">
      <x:alignment vertical="center"/>
    </x:xf>
    <x:xf numFmtId="164" fontId="6" fillId="0" borderId="0" xfId="0" applyNumberFormat="1" applyFont="1" applyAlignment="1">
      <x:alignment vertical="center"/>
    </x:xf>
    <x:xf numFmtId="0" fontId="6" fillId="3" borderId="5" xfId="0" applyFont="1" applyFill="1" applyBorder="1" applyAlignment="1">
      <x:alignment horizontal="center" vertical="center"/>
    </x:xf>
    <x:xf numFmtId="165" fontId="3" fillId="2" borderId="14" xfId="0" applyNumberFormat="1" applyFont="1" applyFill="1" applyBorder="1" applyAlignment="1">
      <x:alignment vertical="center"/>
    </x:xf>
    <x:xf numFmtId="0" fontId="4" fillId="0" borderId="6" xfId="0" applyFont="1" applyBorder="1" applyAlignment="1">
      <x:alignment vertical="center"/>
    </x:xf>
    <x:xf numFmtId="165" fontId="4" fillId="0" borderId="6" xfId="0" applyNumberFormat="1" applyFont="1" applyBorder="1" applyAlignment="1">
      <x:alignment vertical="center"/>
    </x:xf>
    <x:xf numFmtId="0" fontId="4" fillId="0" borderId="8" xfId="0" applyFont="1" applyBorder="1" applyAlignment="1">
      <x:alignment vertical="center"/>
    </x:xf>
    <x:xf numFmtId="165" fontId="4" fillId="0" borderId="8" xfId="0" applyNumberFormat="1" applyFont="1" applyBorder="1" applyAlignment="1">
      <x:alignment vertical="center"/>
    </x:xf>
    <x:xf numFmtId="0" fontId="3" fillId="5" borderId="15" xfId="0" applyFont="1" applyFill="1" applyBorder="1" applyAlignment="1">
      <x:alignment vertical="center"/>
    </x:xf>
    <x:xf numFmtId="165" fontId="3" fillId="5" borderId="15" xfId="0" applyNumberFormat="1" applyFont="1" applyFill="1" applyBorder="1" applyAlignment="1">
      <x:alignment vertical="center"/>
    </x:xf>
    <x:xf numFmtId="0" fontId="8" fillId="7" borderId="6" xfId="0" applyFont="1" applyFill="1" applyBorder="1" applyAlignment="1">
      <x:alignment vertical="top" wrapText="1"/>
    </x:xf>
    <x:xf numFmtId="164" fontId="8" fillId="7" borderId="6" xfId="0" applyNumberFormat="1" applyFont="1" applyFill="1" applyBorder="1" applyAlignment="1">
      <x:alignment vertical="top" wrapText="1"/>
    </x:xf>
    <x:xf numFmtId="0" fontId="8" fillId="7" borderId="8" xfId="0" applyFont="1" applyFill="1" applyBorder="1" applyAlignment="1">
      <x:alignment vertical="top" wrapText="1"/>
    </x:xf>
    <x:xf numFmtId="164" fontId="8" fillId="7" borderId="8" xfId="0" applyNumberFormat="1" applyFont="1" applyFill="1" applyBorder="1" applyAlignment="1">
      <x:alignment vertical="top" wrapText="1"/>
    </x:xf>
    <x:xf numFmtId="0" fontId="8" fillId="8" borderId="8" xfId="0" applyFont="1" applyFill="1" applyBorder="1" applyAlignment="1">
      <x:alignment vertical="top" wrapText="1"/>
    </x:xf>
    <x:xf numFmtId="164" fontId="8" fillId="8" borderId="8" xfId="0" applyNumberFormat="1" applyFont="1" applyFill="1" applyBorder="1" applyAlignment="1">
      <x:alignment vertical="top" wrapText="1"/>
    </x:xf>
    <x:xf numFmtId="0" fontId="8" fillId="8" borderId="10" xfId="0" applyFont="1" applyFill="1" applyBorder="1" applyAlignment="1">
      <x:alignment vertical="top" wrapText="1"/>
    </x:xf>
    <x:xf numFmtId="164" fontId="8" fillId="8" borderId="10" xfId="0" applyNumberFormat="1" applyFont="1" applyFill="1" applyBorder="1" applyAlignment="1">
      <x:alignment vertical="top" wrapText="1"/>
    </x:xf>
    <x:xf numFmtId="0" fontId="8" fillId="8" borderId="16" xfId="0" applyFont="1" applyFill="1" applyBorder="1" applyAlignment="1">
      <x:alignment vertical="top" wrapText="1"/>
    </x:xf>
    <x:xf numFmtId="164" fontId="8" fillId="8" borderId="16" xfId="0" applyNumberFormat="1" applyFont="1" applyFill="1" applyBorder="1" applyAlignment="1">
      <x:alignment vertical="top" wrapText="1"/>
    </x:xf>
    <x:xf numFmtId="0" fontId="4" fillId="0" borderId="17" xfId="0" applyFont="1" applyBorder="1"/>
    <x:xf numFmtId="164" fontId="4" fillId="0" borderId="18" xfId="0" applyNumberFormat="1" applyFont="1" applyBorder="1"/>
    <x:xf numFmtId="0" fontId="4" fillId="0" borderId="19" xfId="0" applyFont="1" applyBorder="1"/>
    <x:xf numFmtId="164" fontId="4" fillId="0" borderId="20" xfId="0" applyNumberFormat="1" applyFont="1" applyBorder="1"/>
    <x:xf numFmtId="0" fontId="3" fillId="5" borderId="21" xfId="0" applyFont="1" applyFill="1" applyBorder="1"/>
    <x:xf numFmtId="164" fontId="3" fillId="5" borderId="22" xfId="0" applyNumberFormat="1" applyFont="1" applyFill="1" applyBorder="1"/>
    <x:xf numFmtId="0" fontId="1" fillId="0" borderId="0" xfId="0" applyFont="1"/>
    <x:xf numFmtId="0" fontId="2" fillId="0" borderId="0" xfId="0" applyFont="1" applyAlignment="1">
      <x:alignment wrapText="1"/>
    </x:xf>
    <x:xf numFmtId="0" fontId="3" fillId="2" borderId="0" xfId="0" applyFont="1" applyFill="1"/>
    <x:xf numFmtId="0" fontId="7" fillId="6" borderId="0" xfId="0" applyFont="1" applyFill="1" applyAlignment="1">
      <x:alignment vertical="center" wrapText="1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2" borderId="12" xfId="0" applyFont="1" applyFill="1" applyBorder="1" applyAlignment="1">
      <x:alignment vertical="center"/>
    </x:xf>
    <x:xf numFmtId="0" fontId="3" fillId="2" borderId="13" xfId="0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2898ac8b44522" /><Relationship Type="http://schemas.openxmlformats.org/officeDocument/2006/relationships/theme" Target="/xl/theme/theme1.xml" Id="R49953c09acd64af7" /><Relationship Type="http://schemas.openxmlformats.org/officeDocument/2006/relationships/sharedStrings" Target="/xl/sharedStrings.xml" Id="R3b58435a6a9842a4" /><Relationship Type="http://schemas.openxmlformats.org/officeDocument/2006/relationships/worksheet" Target="/xl/worksheets/sheet1.xml" Id="R1576b8fae5344111" /><Relationship Type="http://schemas.openxmlformats.org/officeDocument/2006/relationships/worksheet" Target="/xl/worksheets/sheet2.xml" Id="Rbea480304ac946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9a742de85c4cd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0afa6190484495d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937260</xdr:colOff>
      <xdr:row>0</xdr:row>
      <xdr:rowOff>60960</xdr:rowOff>
    </xdr:from>
    <xdr:to>
      <xdr:col>5</xdr:col>
      <xdr:colOff>411646</xdr:colOff>
      <xdr:row>2</xdr:row>
      <xdr:rowOff>53378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9a742de85c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6</xdr:col>
      <xdr:colOff>2049780</xdr:colOff>
      <xdr:row>0</xdr:row>
      <xdr:rowOff>129540</xdr:rowOff>
    </xdr:from>
    <xdr:to>
      <xdr:col>7</xdr:col>
      <xdr:colOff>1828966</xdr:colOff>
      <xdr:row>2</xdr:row>
      <xdr:rowOff>121958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afa619048449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267142bc1f4f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642b6924bd9476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9" topLeftCell="A10" activePane="bottomLeft" state="frozen"/>
    </x:sheetView>
  </x:sheetViews>
  <x:sheetFormatPr defaultRowHeight="13.800000190734863"/>
  <x:cols>
    <x:col min="1" max="1" width="48" customWidth="1"/>
    <x:col min="2" max="2" width="12" customWidth="1"/>
    <x:col min="3" max="4" width="15" customWidth="1"/>
    <x:col min="5" max="5" width="32" customWidth="1"/>
    <x:col min="6" max="7" width="15" customWidth="1"/>
  </x:cols>
  <x:sheetData>
    <x:row r="1">
      <x:c r="A1" s="6"/>
      <x:c r="B1" s="6"/>
      <x:c r="C1" s="6"/>
      <x:c r="D1" s="6"/>
      <x:c r="E1" s="6"/>
      <x:c r="F1" s="6"/>
      <x:c r="G1" s="6"/>
    </x:row>
    <x:row r="2" ht="21">
      <x:c r="A2" s="58" t="str">
        <x:v>IT7009 Practical Projects – Evaluation Marking Sheet</x:v>
      </x:c>
      <x:c r="B2" s="58"/>
      <x:c r="C2" s="58"/>
      <x:c r="D2" s="58"/>
      <x:c r="E2" s="58"/>
      <x:c r="F2" s="58"/>
      <x:c r="G2" s="58"/>
    </x:row>
    <x:row r="3">
      <x:c r="A3" s="59" t="s">
        <x:v>0</x:v>
      </x:c>
      <x:c r="B3" s="59"/>
      <x:c r="C3" s="59"/>
      <x:c r="D3" s="59"/>
      <x:c r="E3" s="59"/>
      <x:c r="F3" s="59"/>
      <x:c r="G3" s="59"/>
    </x:row>
    <x:row r="4">
      <x:c r="A4" s="7"/>
      <x:c r="B4" s="7"/>
      <x:c r="C4" s="7"/>
      <x:c r="D4" s="7"/>
      <x:c r="E4" s="7"/>
      <x:c r="F4" s="7"/>
      <x:c r="G4" s="7"/>
    </x:row>
    <x:row r="5">
      <x:c r="A5" s="8" t="s">
        <x:v>1</x:v>
      </x:c>
      <x:c r="B5" s="9"/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</x:row>
    <x:row r="6">
      <x:c r="A6" s="11" t="s">
        <x:v>7</x:v>
      </x:c>
      <x:c r="B6" s="12"/>
      <x:c r="C6" s="13" t="s">
        <x:v>8</x:v>
      </x:c>
      <x:c r="D6" s="13" t="s">
        <x:v>8</x:v>
      </x:c>
      <x:c r="E6" s="13" t="s">
        <x:v>8</x:v>
      </x:c>
      <x:c r="F6" s="13" t="s">
        <x:v>8</x:v>
      </x:c>
      <x:c r="G6" s="13" t="s">
        <x:v>8</x:v>
      </x:c>
    </x:row>
    <x:row r="7">
      <x:c r="A7" s="14" t="s">
        <x:v>9</x:v>
      </x:c>
      <x:c r="B7" s="15"/>
      <x:c r="C7" s="13" t="s">
        <x:v>10</x:v>
      </x:c>
      <x:c r="D7" s="13" t="s">
        <x:v>10</x:v>
      </x:c>
      <x:c r="E7" s="13" t="s">
        <x:v>10</x:v>
      </x:c>
      <x:c r="F7" s="13" t="s">
        <x:v>10</x:v>
      </x:c>
      <x:c r="G7" s="13" t="s">
        <x:v>10</x:v>
      </x:c>
    </x:row>
    <x:row r="8">
      <x:c r="A8" s="7"/>
      <x:c r="B8" s="7"/>
      <x:c r="C8" s="7"/>
      <x:c r="D8" s="7"/>
      <x:c r="E8" s="7"/>
      <x:c r="F8" s="7"/>
      <x:c r="G8" s="7"/>
    </x:row>
    <x:row r="9" ht="27.600000381469727">
      <x:c r="A9" s="1" t="s">
        <x:v>11</x:v>
      </x:c>
      <x:c r="B9" s="1" t="s">
        <x:v>12</x:v>
      </x:c>
      <x:c r="C9" s="1" t="s">
        <x:v>13</x:v>
      </x:c>
      <x:c r="D9" s="1" t="s">
        <x:v>14</x:v>
      </x:c>
      <x:c r="E9" s="1" t="s">
        <x:v>15</x:v>
      </x:c>
      <x:c r="F9" s="7"/>
      <x:c r="G9" s="7"/>
    </x:row>
    <x:row r="10" ht="15" customHeight="1">
      <x:c r="A10" s="3" t="s">
        <x:v>16</x:v>
      </x:c>
      <x:c r="B10" s="16">
        <x:v>5</x:v>
      </x:c>
      <x:c r="C10" s="17"/>
      <x:c r="D10" s="18" t="str">
        <x:f t="shared" ref="D10:D18" si="0">IF(C10="","",C10/5*B10)</x:f>
      </x:c>
      <x:c r="E10" s="3"/>
      <x:c r="F10" s="7"/>
      <x:c r="G10" s="7"/>
    </x:row>
    <x:row r="11" ht="15" customHeight="1">
      <x:c r="A11" s="4" t="s">
        <x:v>17</x:v>
      </x:c>
      <x:c r="B11" s="19">
        <x:v>12</x:v>
      </x:c>
      <x:c r="C11" s="20"/>
      <x:c r="D11" s="21" t="str">
        <x:f t="shared" si="0"/>
      </x:c>
      <x:c r="E11" s="4"/>
      <x:c r="F11" s="7"/>
      <x:c r="G11" s="7"/>
    </x:row>
    <x:row r="12" ht="15" customHeight="1">
      <x:c r="A12" s="4" t="s">
        <x:v>18</x:v>
      </x:c>
      <x:c r="B12" s="19">
        <x:v>8</x:v>
      </x:c>
      <x:c r="C12" s="20"/>
      <x:c r="D12" s="21" t="str">
        <x:f t="shared" si="0"/>
      </x:c>
      <x:c r="E12" s="4"/>
      <x:c r="F12" s="7"/>
      <x:c r="G12" s="7"/>
    </x:row>
    <x:row r="13" ht="15" customHeight="1">
      <x:c r="A13" s="4" t="s">
        <x:v>19</x:v>
      </x:c>
      <x:c r="B13" s="19">
        <x:v>8</x:v>
      </x:c>
      <x:c r="C13" s="20"/>
      <x:c r="D13" s="21" t="str">
        <x:f t="shared" si="0"/>
      </x:c>
      <x:c r="E13" s="4"/>
      <x:c r="F13" s="7"/>
      <x:c r="G13" s="7"/>
    </x:row>
    <x:row r="14" ht="15" customHeight="1">
      <x:c r="A14" s="4" t="s">
        <x:v>20</x:v>
      </x:c>
      <x:c r="B14" s="19">
        <x:v>10</x:v>
      </x:c>
      <x:c r="C14" s="20"/>
      <x:c r="D14" s="21" t="str">
        <x:f t="shared" si="0"/>
      </x:c>
      <x:c r="E14" s="4"/>
      <x:c r="F14" s="7"/>
      <x:c r="G14" s="7"/>
    </x:row>
    <x:row r="15" ht="15" customHeight="1">
      <x:c r="A15" s="4" t="s">
        <x:v>21</x:v>
      </x:c>
      <x:c r="B15" s="19">
        <x:v>8</x:v>
      </x:c>
      <x:c r="C15" s="20"/>
      <x:c r="D15" s="21" t="str">
        <x:f t="shared" si="0"/>
      </x:c>
      <x:c r="E15" s="4"/>
      <x:c r="F15" s="7"/>
      <x:c r="G15" s="7"/>
    </x:row>
    <x:row r="16" ht="15" customHeight="1">
      <x:c r="A16" s="4" t="s">
        <x:v>22</x:v>
      </x:c>
      <x:c r="B16" s="19">
        <x:v>8</x:v>
      </x:c>
      <x:c r="C16" s="20"/>
      <x:c r="D16" s="21" t="str">
        <x:f t="shared" si="0"/>
      </x:c>
      <x:c r="E16" s="4"/>
      <x:c r="F16" s="7"/>
      <x:c r="G16" s="7"/>
    </x:row>
    <x:row r="17" ht="15" customHeight="1">
      <x:c r="A17" s="4" t="s">
        <x:v>23</x:v>
      </x:c>
      <x:c r="B17" s="19">
        <x:v>5</x:v>
      </x:c>
      <x:c r="C17" s="20"/>
      <x:c r="D17" s="21" t="str">
        <x:f t="shared" si="0"/>
      </x:c>
      <x:c r="E17" s="4"/>
      <x:c r="F17" s="7"/>
      <x:c r="G17" s="7"/>
    </x:row>
    <x:row r="18" ht="15" customHeight="1">
      <x:c r="A18" s="5" t="s">
        <x:v>24</x:v>
      </x:c>
      <x:c r="B18" s="22">
        <x:v>6</x:v>
      </x:c>
      <x:c r="C18" s="23"/>
      <x:c r="D18" s="24" t="str">
        <x:f t="shared" si="0"/>
      </x:c>
      <x:c r="E18" s="5"/>
      <x:c r="F18" s="7"/>
      <x:c r="G18" s="7"/>
    </x:row>
    <x:row r="19">
      <x:c r="A19" s="60" t="s">
        <x:v>25</x:v>
      </x:c>
      <x:c r="B19" s="61"/>
      <x:c r="C19" s="61"/>
      <x:c r="D19" s="27" t="str">
        <x:f>IF(COUNTA(C10:C18)=0,"",SUM(D10:D18))</x:f>
      </x:c>
      <x:c r="E19" s="28" t="s">
        <x:v>26</x:v>
      </x:c>
      <x:c r="F19" s="7"/>
      <x:c r="G19" s="7"/>
    </x:row>
    <x:row r="20">
      <x:c r="A20" s="7"/>
      <x:c r="B20" s="7"/>
      <x:c r="C20" s="7"/>
      <x:c r="D20" s="7"/>
      <x:c r="E20" s="7"/>
      <x:c r="F20" s="7"/>
      <x:c r="G20" s="7"/>
    </x:row>
    <x:row r="21">
      <x:c r="A21" s="7"/>
      <x:c r="B21" s="7"/>
      <x:c r="C21" s="7"/>
      <x:c r="D21" s="7"/>
      <x:c r="E21" s="7"/>
      <x:c r="F21" s="7"/>
      <x:c r="G21" s="7"/>
    </x:row>
    <x:row r="22">
      <x:c r="A22" s="1" t="s">
        <x:v>27</x:v>
      </x:c>
      <x:c r="B22" s="1" t="s">
        <x:v>12</x:v>
      </x:c>
      <x:c r="C22" s="1" t="s">
        <x:v>2</x:v>
      </x:c>
      <x:c r="D22" s="1" t="s">
        <x:v>3</x:v>
      </x:c>
      <x:c r="E22" s="1" t="s">
        <x:v>4</x:v>
      </x:c>
      <x:c r="F22" s="1" t="s">
        <x:v>5</x:v>
      </x:c>
      <x:c r="G22" s="1" t="s">
        <x:v>6</x:v>
      </x:c>
    </x:row>
    <x:row r="23" ht="15" customHeight="1">
      <x:c r="A23" s="2" t="s">
        <x:v>28</x:v>
      </x:c>
      <x:c r="B23" s="29">
        <x:v>6</x:v>
      </x:c>
      <x:c r="C23" s="30"/>
      <x:c r="D23" s="30"/>
      <x:c r="E23" s="30"/>
      <x:c r="F23" s="30"/>
      <x:c r="G23" s="30"/>
    </x:row>
    <x:row r="24" ht="15" customHeight="1">
      <x:c r="A24" s="2" t="s">
        <x:v>29</x:v>
      </x:c>
      <x:c r="B24" s="29">
        <x:v>7</x:v>
      </x:c>
      <x:c r="C24" s="30"/>
      <x:c r="D24" s="30"/>
      <x:c r="E24" s="30"/>
      <x:c r="F24" s="30"/>
      <x:c r="G24" s="30"/>
    </x:row>
    <x:row r="25" ht="15" customHeight="1">
      <x:c r="A25" s="2" t="s">
        <x:v>30</x:v>
      </x:c>
      <x:c r="B25" s="29">
        <x:v>5</x:v>
      </x:c>
      <x:c r="C25" s="30"/>
      <x:c r="D25" s="30"/>
      <x:c r="E25" s="30"/>
      <x:c r="F25" s="30"/>
      <x:c r="G25" s="30"/>
    </x:row>
    <x:row r="26" ht="15" customHeight="1">
      <x:c r="A26" s="2" t="s">
        <x:v>31</x:v>
      </x:c>
      <x:c r="B26" s="29">
        <x:v>8</x:v>
      </x:c>
      <x:c r="C26" s="30"/>
      <x:c r="D26" s="30"/>
      <x:c r="E26" s="30"/>
      <x:c r="F26" s="30"/>
      <x:c r="G26" s="30"/>
    </x:row>
    <x:row r="27" ht="15" customHeight="1">
      <x:c r="A27" s="2" t="s">
        <x:v>32</x:v>
      </x:c>
      <x:c r="B27" s="29">
        <x:v>4</x:v>
      </x:c>
      <x:c r="C27" s="30"/>
      <x:c r="D27" s="30"/>
      <x:c r="E27" s="30"/>
      <x:c r="F27" s="30"/>
      <x:c r="G27" s="30"/>
    </x:row>
    <x:row r="28">
      <x:c r="A28" s="60" t="s">
        <x:v>33</x:v>
      </x:c>
      <x:c r="B28" s="61"/>
      <x:c r="C28" s="27" t="str">
        <x:f>IF(COUNTA(C23:C27)=0,"",SUMPRODUCT(C23:C27,$B$23:$B$27)/5)</x:f>
      </x:c>
      <x:c r="D28" s="27" t="str">
        <x:f>IF(COUNTA(D23:D27)=0,"",SUMPRODUCT(D23:D27,$B$23:$B$27)/5)</x:f>
      </x:c>
      <x:c r="E28" s="27" t="str">
        <x:f>IF(COUNTA(E23:E27)=0,"",SUMPRODUCT(E23:E27,$B$23:$B$27)/5)</x:f>
      </x:c>
      <x:c r="F28" s="27" t="str">
        <x:f>IF(COUNTA(F23:F27)=0,"",SUMPRODUCT(F23:F27,$B$23:$B$27)/5)</x:f>
      </x:c>
      <x:c r="G28" s="31" t="str">
        <x:f>IF(COUNTA(G23:G27)=0,"",SUMPRODUCT(G23:G27,$B$23:$B$27)/5)</x:f>
      </x:c>
    </x:row>
    <x:row r="29">
      <x:c r="A29" s="7"/>
      <x:c r="B29" s="7"/>
      <x:c r="C29" s="7"/>
      <x:c r="D29" s="7"/>
      <x:c r="E29" s="7"/>
      <x:c r="F29" s="7"/>
      <x:c r="G29" s="7"/>
    </x:row>
    <x:row r="30">
      <x:c r="A30" s="7"/>
      <x:c r="B30" s="7"/>
      <x:c r="C30" s="7"/>
      <x:c r="D30" s="7"/>
      <x:c r="E30" s="7"/>
      <x:c r="F30" s="7"/>
      <x:c r="G30" s="7"/>
    </x:row>
    <x:row r="31">
      <x:c r="A31" s="10" t="s">
        <x:v>34</x:v>
      </x:c>
      <x:c r="B31" s="10" t="s">
        <x:v>35</x:v>
      </x:c>
      <x:c r="C31" s="10" t="s">
        <x:v>2</x:v>
      </x:c>
      <x:c r="D31" s="10" t="s">
        <x:v>3</x:v>
      </x:c>
      <x:c r="E31" s="10" t="s">
        <x:v>4</x:v>
      </x:c>
      <x:c r="F31" s="10" t="s">
        <x:v>5</x:v>
      </x:c>
      <x:c r="G31" s="10" t="s">
        <x:v>6</x:v>
      </x:c>
    </x:row>
    <x:row r="32">
      <x:c r="A32" s="32" t="s">
        <x:v>36</x:v>
      </x:c>
      <x:c r="B32" s="32">
        <x:v>70</x:v>
      </x:c>
      <x:c r="C32" s="33" t="str">
        <x:f>IF($D$19="","",$D$19)</x:f>
      </x:c>
      <x:c r="D32" s="33" t="str">
        <x:f>IF($D$19="","",$D$19)</x:f>
      </x:c>
      <x:c r="E32" s="33" t="str">
        <x:f>IF($D$19="","",$D$19)</x:f>
      </x:c>
      <x:c r="F32" s="33" t="str">
        <x:f>IF($D$19="","",$D$19)</x:f>
      </x:c>
      <x:c r="G32" s="33" t="str">
        <x:f>IF($D$19="","",$D$19)</x:f>
      </x:c>
    </x:row>
    <x:row r="33">
      <x:c r="A33" s="34" t="s">
        <x:v>37</x:v>
      </x:c>
      <x:c r="B33" s="34">
        <x:v>30</x:v>
      </x:c>
      <x:c r="C33" s="35" t="str">
        <x:f>IF(C$28="","",C$28)</x:f>
      </x:c>
      <x:c r="D33" s="35" t="str">
        <x:f>IF(D$28="","",D$28)</x:f>
      </x:c>
      <x:c r="E33" s="35" t="str">
        <x:f>IF(E$28="","",E$28)</x:f>
      </x:c>
      <x:c r="F33" s="35" t="str">
        <x:f>IF(F$28="","",F$28)</x:f>
      </x:c>
      <x:c r="G33" s="35" t="str">
        <x:f>IF(G$28="","",G$28)</x:f>
      </x:c>
    </x:row>
    <x:row r="34">
      <x:c r="A34" s="25" t="s">
        <x:v>38</x:v>
      </x:c>
      <x:c r="B34" s="26">
        <x:v>100</x:v>
      </x:c>
      <x:c r="C34" s="27" t="str">
        <x:f>IF(OR(C32="",C33=""),"",C32+C33)</x:f>
      </x:c>
      <x:c r="D34" s="27" t="str">
        <x:f>IF(OR(D32="",D33=""),"",D32+D33)</x:f>
      </x:c>
      <x:c r="E34" s="27" t="str">
        <x:f>IF(OR(E32="",E33=""),"",E32+E33)</x:f>
      </x:c>
      <x:c r="F34" s="27" t="str">
        <x:f>IF(OR(F32="",F33=""),"",F32+F33)</x:f>
      </x:c>
      <x:c r="G34" s="31" t="str">
        <x:f>IF(OR(G32="",G33=""),"",G32+G33)</x:f>
      </x:c>
    </x:row>
    <x:row r="35">
      <x:c r="A35" s="36" t="s">
        <x:v>39</x:v>
      </x:c>
      <x:c r="B35" s="36">
        <x:v>35</x:v>
      </x:c>
      <x:c r="C35" s="37" t="str">
        <x:f>IF(C34="","",C34/100*35)</x:f>
      </x:c>
      <x:c r="D35" s="37" t="str">
        <x:f>IF(D34="","",D34/100*35)</x:f>
      </x:c>
      <x:c r="E35" s="37" t="str">
        <x:f>IF(E34="","",E34/100*35)</x:f>
      </x:c>
      <x:c r="F35" s="37" t="str">
        <x:f>IF(F34="","",F34/100*35)</x:f>
      </x:c>
      <x:c r="G35" s="37" t="str">
        <x:f>IF(G34="","",G34/100*35)</x:f>
      </x:c>
    </x:row>
    <x:row r="36">
      <x:c r="A36" s="7"/>
      <x:c r="B36" s="7"/>
      <x:c r="C36" s="7"/>
      <x:c r="D36" s="7"/>
      <x:c r="E36" s="7"/>
      <x:c r="F36" s="7"/>
      <x:c r="G36" s="7"/>
    </x:row>
    <x:row r="37">
      <x:c r="A37" s="57" t="s">
        <x:v>40</x:v>
      </x:c>
      <x:c r="B37" s="57"/>
      <x:c r="C37" s="57"/>
      <x:c r="D37" s="57"/>
      <x:c r="E37" s="57"/>
      <x:c r="F37" s="57"/>
      <x:c r="G37" s="57"/>
    </x:row>
    <x:row r="38">
      <x:c r="A38" s="57" t="s">
        <x:v>41</x:v>
      </x:c>
      <x:c r="B38" s="57"/>
      <x:c r="C38" s="57"/>
      <x:c r="D38" s="57"/>
      <x:c r="E38" s="57"/>
      <x:c r="F38" s="57"/>
      <x:c r="G38" s="57"/>
    </x:row>
  </x:sheetData>
  <x:mergeCells>
    <x:mergeCell ref="A38:G38"/>
    <x:mergeCell ref="A2:G2"/>
    <x:mergeCell ref="A3:G3"/>
    <x:mergeCell ref="A19:C19"/>
    <x:mergeCell ref="A28:B28"/>
    <x:mergeCell ref="A37:G37"/>
  </x:mergeCells>
  <x:conditionalFormatting sqref="C10:C18">
    <x:cfRule type="containsBlanks" dxfId="1" priority="1"/>
  </x:conditionalFormatting>
  <x:conditionalFormatting sqref="C23:G27">
    <x:cfRule type="containsBlanks" dxfId="0" priority="2"/>
  </x:conditionalFormatting>
  <x:dataValidations count="1">
    <x:dataValidation type="whole" sqref="C10:C18 C23:G27">
      <x:formula1>0</x:formula1>
      <x:formula2>5</x:formula2>
    </x:dataValidation>
  </x:dataValidations>
  <x:pageMargins left="0.7" right="0.7" top="0.75" bottom="0.75" header="0.3" footer="0.3"/>
  <x:drawing xmlns:r="http://schemas.openxmlformats.org/officeDocument/2006/relationships" r:id="R75267142bc1f4f69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3.800000190734863"/>
  <x:cols>
    <x:col min="1" max="1" width="34" customWidth="1"/>
    <x:col min="2" max="2" width="10" customWidth="1"/>
    <x:col min="3" max="8" width="28" customWidth="1"/>
    <x:col min="9" max="9" width="42" customWidth="1"/>
  </x:cols>
  <x:sheetData>
    <x:row r="2" ht="21">
      <x:c r="A2" s="54" t="str">
        <x:v>IT7009 Practical Projects – Analytic Evaluation Rubric</x:v>
      </x:c>
      <x:c r="B2" s="54"/>
      <x:c r="C2" s="54"/>
      <x:c r="D2" s="54"/>
      <x:c r="E2" s="54"/>
      <x:c r="F2" s="54"/>
      <x:c r="G2" s="54"/>
      <x:c r="H2" s="54"/>
      <x:c r="I2" s="54"/>
    </x:row>
    <x:row r="3" ht="30" customHeight="1">
      <x:c r="A3" s="55" t="s">
        <x:v>42</x:v>
      </x:c>
      <x:c r="B3" s="55"/>
      <x:c r="C3" s="55"/>
      <x:c r="D3" s="55"/>
      <x:c r="E3" s="55"/>
      <x:c r="F3" s="55"/>
      <x:c r="G3" s="55"/>
      <x:c r="H3" s="55"/>
      <x:c r="I3" s="55"/>
    </x:row>
    <x:row r="5" ht="15" customHeight="1">
      <x:c r="A5" s="1" t="s">
        <x:v>43</x:v>
      </x:c>
      <x:c r="B5" s="1" t="s">
        <x:v>12</x:v>
      </x:c>
      <x:c r="C5" s="1" t="s">
        <x:v>44</x:v>
      </x:c>
      <x:c r="D5" s="1" t="s">
        <x:v>45</x:v>
      </x:c>
      <x:c r="E5" s="1" t="s">
        <x:v>46</x:v>
      </x:c>
      <x:c r="F5" s="1" t="s">
        <x:v>47</x:v>
      </x:c>
      <x:c r="G5" s="1" t="s">
        <x:v>48</x:v>
      </x:c>
      <x:c r="H5" s="1" t="s">
        <x:v>49</x:v>
      </x:c>
      <x:c r="I5" s="1" t="s">
        <x:v>50</x:v>
      </x:c>
    </x:row>
    <x:row r="6" ht="90" customHeight="1">
      <x:c r="A6" s="38" t="s">
        <x:v>16</x:v>
      </x:c>
      <x:c r="B6" s="39">
        <x:v>5</x:v>
      </x:c>
      <x:c r="C6" s="38" t="s">
        <x:v>51</x:v>
      </x:c>
      <x:c r="D6" s="38" t="str">
        <x:v>Problem and objectives are unclear, inaccurate, or weakly connected to the application domain.</x:v>
      </x:c>
      <x:c r="E6" s="38" t="s">
        <x:v>52</x:v>
      </x:c>
      <x:c r="F6" s="38" t="str">
        <x:v>Problem, objectives, and application-domain relevance are explained clearly.</x:v>
      </x:c>
      <x:c r="G6" s="38" t="s">
        <x:v>53</x:v>
      </x:c>
      <x:c r="H6" s="38" t="str">
        <x:v>Problem, objectives, motivation, and practical value within the application domain are precise, coherent, and insightful.</x:v>
      </x:c>
      <x:c r="I6" s="38" t="str">
        <x:v>Problem statement, objectives, motivation, and relevance to the application domain.</x:v>
      </x:c>
    </x:row>
    <x:row r="7" ht="90" customHeight="1">
      <x:c r="A7" s="40" t="s">
        <x:v>17</x:v>
      </x:c>
      <x:c r="B7" s="41">
        <x:v>12</x:v>
      </x:c>
      <x:c r="C7" s="40" t="s">
        <x:v>54</x:v>
      </x:c>
      <x:c r="D7" s="40" t="s">
        <x:v>55</x:v>
      </x:c>
      <x:c r="E7" s="40" t="s">
        <x:v>56</x:v>
      </x:c>
      <x:c r="F7" s="40" t="s">
        <x:v>57</x:v>
      </x:c>
      <x:c r="G7" s="40" t="s">
        <x:v>58</x:v>
      </x:c>
      <x:c r="H7" s="40" t="s">
        <x:v>59</x:v>
      </x:c>
      <x:c r="I7" s="40" t="s">
        <x:v>60</x:v>
      </x:c>
    </x:row>
    <x:row r="8" ht="90" customHeight="1">
      <x:c r="A8" s="40" t="s">
        <x:v>18</x:v>
      </x:c>
      <x:c r="B8" s="41">
        <x:v>8</x:v>
      </x:c>
      <x:c r="C8" s="40" t="s">
        <x:v>61</x:v>
      </x:c>
      <x:c r="D8" s="40" t="s">
        <x:v>62</x:v>
      </x:c>
      <x:c r="E8" s="40" t="s">
        <x:v>63</x:v>
      </x:c>
      <x:c r="F8" s="40" t="s">
        <x:v>64</x:v>
      </x:c>
      <x:c r="G8" s="40" t="s">
        <x:v>65</x:v>
      </x:c>
      <x:c r="H8" s="40" t="s">
        <x:v>66</x:v>
      </x:c>
      <x:c r="I8" s="40" t="str">
        <x:v>Target-class distribution; important feature distributions and relationships; model-comparison table and plot; confusion matrices; elbow and silhouette plots; final-cluster visualisation; labelled figures and interpretation.</x:v>
      </x:c>
    </x:row>
    <x:row r="9" ht="90" customHeight="1">
      <x:c r="A9" s="40" t="s">
        <x:v>19</x:v>
      </x:c>
      <x:c r="B9" s="41">
        <x:v>8</x:v>
      </x:c>
      <x:c r="C9" s="40" t="s">
        <x:v>67</x:v>
      </x:c>
      <x:c r="D9" s="40" t="s">
        <x:v>68</x:v>
      </x:c>
      <x:c r="E9" s="40" t="s">
        <x:v>69</x:v>
      </x:c>
      <x:c r="F9" s="40" t="s">
        <x:v>70</x:v>
      </x:c>
      <x:c r="G9" s="40" t="s">
        <x:v>71</x:v>
      </x:c>
      <x:c r="H9" s="40" t="s">
        <x:v>72</x:v>
      </x:c>
      <x:c r="I9" s="40" t="s">
        <x:v>73</x:v>
      </x:c>
    </x:row>
    <x:row r="10" ht="90" customHeight="1">
      <x:c r="A10" s="40" t="s">
        <x:v>20</x:v>
      </x:c>
      <x:c r="B10" s="41">
        <x:v>10</x:v>
      </x:c>
      <x:c r="C10" s="40" t="s">
        <x:v>74</x:v>
      </x:c>
      <x:c r="D10" s="40" t="s">
        <x:v>75</x:v>
      </x:c>
      <x:c r="E10" s="40" t="s">
        <x:v>76</x:v>
      </x:c>
      <x:c r="F10" s="40" t="s">
        <x:v>77</x:v>
      </x:c>
      <x:c r="G10" s="40" t="s">
        <x:v>78</x:v>
      </x:c>
      <x:c r="H10" s="40" t="s">
        <x:v>79</x:v>
      </x:c>
      <x:c r="I10" s="40" t="s">
        <x:v>80</x:v>
      </x:c>
    </x:row>
    <x:row r="11" ht="90" customHeight="1">
      <x:c r="A11" s="40" t="s">
        <x:v>21</x:v>
      </x:c>
      <x:c r="B11" s="41">
        <x:v>8</x:v>
      </x:c>
      <x:c r="C11" s="40" t="s">
        <x:v>81</x:v>
      </x:c>
      <x:c r="D11" s="40" t="s">
        <x:v>82</x:v>
      </x:c>
      <x:c r="E11" s="40" t="s">
        <x:v>83</x:v>
      </x:c>
      <x:c r="F11" s="40" t="s">
        <x:v>84</x:v>
      </x:c>
      <x:c r="G11" s="40" t="s">
        <x:v>85</x:v>
      </x:c>
      <x:c r="H11" s="40" t="s">
        <x:v>86</x:v>
      </x:c>
      <x:c r="I11" s="40" t="s">
        <x:v>87</x:v>
      </x:c>
    </x:row>
    <x:row r="12" ht="90" customHeight="1">
      <x:c r="A12" s="40" t="s">
        <x:v>22</x:v>
      </x:c>
      <x:c r="B12" s="41">
        <x:v>8</x:v>
      </x:c>
      <x:c r="C12" s="40" t="s">
        <x:v>88</x:v>
      </x:c>
      <x:c r="D12" s="40" t="s">
        <x:v>89</x:v>
      </x:c>
      <x:c r="E12" s="40" t="s">
        <x:v>90</x:v>
      </x:c>
      <x:c r="F12" s="40" t="s">
        <x:v>91</x:v>
      </x:c>
      <x:c r="G12" s="40" t="str">
        <x:v>Clustering, optimal-cluster selection, final visualisation, and application-domain interpretation are well executed and justified.</x:v>
      </x:c>
      <x:c r="H12" s="40" t="str">
        <x:v>Cluster analysis is rigorous and insightful, with strong validation, clear visual evidence, and convincing practical interpretation within the application domain.</x:v>
      </x:c>
      <x:c r="I12" s="40" t="s">
        <x:v>92</x:v>
      </x:c>
    </x:row>
    <x:row r="13" ht="90" customHeight="1">
      <x:c r="A13" s="40" t="s">
        <x:v>23</x:v>
      </x:c>
      <x:c r="B13" s="41">
        <x:v>5</x:v>
      </x:c>
      <x:c r="C13" s="40" t="s">
        <x:v>93</x:v>
      </x:c>
      <x:c r="D13" s="40" t="s">
        <x:v>94</x:v>
      </x:c>
      <x:c r="E13" s="40" t="s">
        <x:v>95</x:v>
      </x:c>
      <x:c r="F13" s="40" t="s">
        <x:v>96</x:v>
      </x:c>
      <x:c r="G13" s="40" t="s">
        <x:v>97</x:v>
      </x:c>
      <x:c r="H13" s="40" t="s">
        <x:v>98</x:v>
      </x:c>
      <x:c r="I13" s="40" t="s">
        <x:v>99</x:v>
      </x:c>
    </x:row>
    <x:row r="14" ht="90" customHeight="1">
      <x:c r="A14" s="40" t="s">
        <x:v>24</x:v>
      </x:c>
      <x:c r="B14" s="41">
        <x:v>6</x:v>
      </x:c>
      <x:c r="C14" s="40" t="s">
        <x:v>100</x:v>
      </x:c>
      <x:c r="D14" s="40" t="s">
        <x:v>101</x:v>
      </x:c>
      <x:c r="E14" s="40" t="s">
        <x:v>102</x:v>
      </x:c>
      <x:c r="F14" s="40" t="s">
        <x:v>103</x:v>
      </x:c>
      <x:c r="G14" s="40" t="s">
        <x:v>104</x:v>
      </x:c>
      <x:c r="H14" s="40" t="s">
        <x:v>105</x:v>
      </x:c>
      <x:c r="I14" s="40" t="s">
        <x:v>106</x:v>
      </x:c>
    </x:row>
    <x:row r="15" ht="90" customHeight="1">
      <x:c r="A15" s="46" t="s">
        <x:v>28</x:v>
      </x:c>
      <x:c r="B15" s="47">
        <x:v>6</x:v>
      </x:c>
      <x:c r="C15" s="46" t="s">
        <x:v>107</x:v>
      </x:c>
      <x:c r="D15" s="46" t="s">
        <x:v>108</x:v>
      </x:c>
      <x:c r="E15" s="46" t="s">
        <x:v>109</x:v>
      </x:c>
      <x:c r="F15" s="46" t="s">
        <x:v>110</x:v>
      </x:c>
      <x:c r="G15" s="46" t="s">
        <x:v>111</x:v>
      </x:c>
      <x:c r="H15" s="46" t="s">
        <x:v>112</x:v>
      </x:c>
      <x:c r="I15" s="46" t="s">
        <x:v>113</x:v>
      </x:c>
    </x:row>
    <x:row r="16" ht="90" customHeight="1">
      <x:c r="A16" s="42" t="s">
        <x:v>29</x:v>
      </x:c>
      <x:c r="B16" s="43">
        <x:v>7</x:v>
      </x:c>
      <x:c r="C16" s="42" t="s">
        <x:v>114</x:v>
      </x:c>
      <x:c r="D16" s="42" t="s">
        <x:v>115</x:v>
      </x:c>
      <x:c r="E16" s="42" t="s">
        <x:v>116</x:v>
      </x:c>
      <x:c r="F16" s="42" t="s">
        <x:v>117</x:v>
      </x:c>
      <x:c r="G16" s="42" t="s">
        <x:v>118</x:v>
      </x:c>
      <x:c r="H16" s="42" t="s">
        <x:v>119</x:v>
      </x:c>
      <x:c r="I16" s="42" t="s">
        <x:v>120</x:v>
      </x:c>
    </x:row>
    <x:row r="17" ht="90" customHeight="1">
      <x:c r="A17" s="42" t="s">
        <x:v>30</x:v>
      </x:c>
      <x:c r="B17" s="43">
        <x:v>5</x:v>
      </x:c>
      <x:c r="C17" s="42" t="s">
        <x:v>121</x:v>
      </x:c>
      <x:c r="D17" s="42" t="s">
        <x:v>122</x:v>
      </x:c>
      <x:c r="E17" s="42" t="s">
        <x:v>123</x:v>
      </x:c>
      <x:c r="F17" s="42" t="str">
        <x:v>Explains the clustering method, elbow and silhouette evidence, final clusters, and their domain-specific meaning.</x:v>
      </x:c>
      <x:c r="G17" s="42" t="s">
        <x:v>124</x:v>
      </x:c>
      <x:c r="H17" s="42" t="str">
        <x:v>Demonstrates excellent understanding of clustering choices, validation evidence, cluster profiles, limitations, and implications within the application domain.</x:v>
      </x:c>
      <x:c r="I17" s="42" t="s">
        <x:v>125</x:v>
      </x:c>
    </x:row>
    <x:row r="18" ht="90" customHeight="1">
      <x:c r="A18" s="42" t="s">
        <x:v>31</x:v>
      </x:c>
      <x:c r="B18" s="43">
        <x:v>8</x:v>
      </x:c>
      <x:c r="C18" s="42" t="s">
        <x:v>126</x:v>
      </x:c>
      <x:c r="D18" s="42" t="s">
        <x:v>127</x:v>
      </x:c>
      <x:c r="E18" s="42" t="s">
        <x:v>128</x:v>
      </x:c>
      <x:c r="F18" s="42" t="s">
        <x:v>129</x:v>
      </x:c>
      <x:c r="G18" s="42" t="s">
        <x:v>130</x:v>
      </x:c>
      <x:c r="H18" s="42" t="s">
        <x:v>131</x:v>
      </x:c>
      <x:c r="I18" s="42" t="s">
        <x:v>132</x:v>
      </x:c>
    </x:row>
    <x:row r="19" ht="90" customHeight="1">
      <x:c r="A19" s="44" t="s">
        <x:v>32</x:v>
      </x:c>
      <x:c r="B19" s="45">
        <x:v>4</x:v>
      </x:c>
      <x:c r="C19" s="44" t="s">
        <x:v>133</x:v>
      </x:c>
      <x:c r="D19" s="44" t="s">
        <x:v>134</x:v>
      </x:c>
      <x:c r="E19" s="44" t="s">
        <x:v>135</x:v>
      </x:c>
      <x:c r="F19" s="44" t="s">
        <x:v>136</x:v>
      </x:c>
      <x:c r="G19" s="44" t="s">
        <x:v>137</x:v>
      </x:c>
      <x:c r="H19" s="44" t="s">
        <x:v>138</x:v>
      </x:c>
      <x:c r="I19" s="44" t="s">
        <x:v>139</x:v>
      </x:c>
    </x:row>
    <x:row r="21">
      <x:c r="A21" s="56" t="s">
        <x:v>140</x:v>
      </x:c>
      <x:c r="B21" s="56"/>
      <x:c r="C21" s="56"/>
      <x:c r="D21" s="56"/>
      <x:c r="E21" s="56"/>
      <x:c r="F21" s="56"/>
      <x:c r="G21" s="56"/>
      <x:c r="H21" s="56"/>
      <x:c r="I21" s="56"/>
    </x:row>
    <x:row r="22">
      <x:c r="A22" s="48" t="s">
        <x:v>36</x:v>
      </x:c>
      <x:c r="B22" s="49">
        <x:v>70</x:v>
      </x:c>
    </x:row>
    <x:row r="23">
      <x:c r="A23" s="50" t="s">
        <x:v>37</x:v>
      </x:c>
      <x:c r="B23" s="51">
        <x:v>30</x:v>
      </x:c>
    </x:row>
    <x:row r="24">
      <x:c r="A24" s="52" t="s">
        <x:v>141</x:v>
      </x:c>
      <x:c r="B24" s="53">
        <x:v>100</x:v>
      </x:c>
    </x:row>
  </x:sheetData>
  <x:mergeCells>
    <x:mergeCell ref="A2:I2"/>
    <x:mergeCell ref="A3:I3"/>
    <x:mergeCell ref="A21:I21"/>
  </x:mergeCells>
  <x:pageMargins left="0.7" right="0.7" top="0.75" bottom="0.75" header="0.3" footer="0.3"/>
  <x:drawing xmlns:r="http://schemas.openxmlformats.org/officeDocument/2006/relationships" r:id="Re642b6924bd94769"/>
</x:worksheet>
</file>